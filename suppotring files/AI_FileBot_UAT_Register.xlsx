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🧠 AI FILE INTELLIGENCE BOT (RAG + OCR + React + Python)\"/>
    </mc:Choice>
  </mc:AlternateContent>
  <xr:revisionPtr revIDLastSave="0" documentId="13_ncr:1_{7F2B6D8B-83B4-4E02-BDFA-27A9059938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AT Test Cases" sheetId="1" r:id="rId1"/>
    <sheet name="Summary Dashboard" sheetId="2" r:id="rId2"/>
    <sheet name="Team Members" sheetId="3" r:id="rId3"/>
  </sheets>
  <definedNames>
    <definedName name="_xlnm._FilterDatabase" localSheetId="0" hidden="1">'UAT Test Cases'!$A$5:$N$35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B11" i="2"/>
  <c r="B10" i="2"/>
  <c r="B9" i="2"/>
  <c r="B8" i="2"/>
  <c r="F7" i="2"/>
  <c r="B7" i="2"/>
  <c r="F6" i="2"/>
  <c r="B6" i="2"/>
  <c r="F5" i="2"/>
  <c r="B5" i="2"/>
  <c r="G15" i="2" l="1"/>
  <c r="B12" i="2"/>
  <c r="C11" i="2"/>
  <c r="C9" i="2"/>
  <c r="C7" i="2"/>
  <c r="G12" i="2"/>
  <c r="C10" i="2"/>
  <c r="F8" i="2"/>
  <c r="C8" i="2"/>
  <c r="G7" i="2"/>
  <c r="G6" i="2"/>
  <c r="C6" i="2"/>
  <c r="C5" i="2"/>
  <c r="G14" i="2"/>
  <c r="G13" i="2"/>
  <c r="G5" i="2"/>
</calcChain>
</file>

<file path=xl/sharedStrings.xml><?xml version="1.0" encoding="utf-8"?>
<sst xmlns="http://schemas.openxmlformats.org/spreadsheetml/2006/main" count="365" uniqueCount="199">
  <si>
    <t>🧠  AI FILE INTELLIGENCE BOT — User Acceptance Testing (UAT) Register</t>
  </si>
  <si>
    <t>Project: RAG + OCR + React + Python  |  Team UAT Register  |  Date: 26-Jun-2026  |  Admin: Jameela</t>
  </si>
  <si>
    <t>📋  TEAM TEST LOG  —  All team members fill columns A to N</t>
  </si>
  <si>
    <t>🔒  ADMIN ONLY — DO NOT EDIT  (Jameela)</t>
  </si>
  <si>
    <t>No.</t>
  </si>
  <si>
    <t>Team Member Name</t>
  </si>
  <si>
    <t>Module / Feature</t>
  </si>
  <si>
    <t>Test Case ID</t>
  </si>
  <si>
    <t>Test Case Description</t>
  </si>
  <si>
    <t>Test Steps</t>
  </si>
  <si>
    <t>Input File Type</t>
  </si>
  <si>
    <t>Input File Language</t>
  </si>
  <si>
    <t>Expected Output</t>
  </si>
  <si>
    <t>Actual Output</t>
  </si>
  <si>
    <t>Status</t>
  </si>
  <si>
    <t>Defect / Remarks</t>
  </si>
  <si>
    <t>Priority</t>
  </si>
  <si>
    <t>Tested On (Date)</t>
  </si>
  <si>
    <t>Assigned To
(Handling TC)</t>
  </si>
  <si>
    <t>Attendance
Status</t>
  </si>
  <si>
    <t>System
Verified OK?</t>
  </si>
  <si>
    <t>Date
Completed</t>
  </si>
  <si>
    <t>Admin Notes</t>
  </si>
  <si>
    <t>Sign-off</t>
  </si>
  <si>
    <t>File Upload</t>
  </si>
  <si>
    <t>TC-001</t>
  </si>
  <si>
    <t>Upload a valid PDF file</t>
  </si>
  <si>
    <t>1. Navigate to Upload page
2. Select a PDF file
3. Click Upload</t>
  </si>
  <si>
    <t>PDF</t>
  </si>
  <si>
    <t>English</t>
  </si>
  <si>
    <t>File uploaded successfully; progress bar 100%; file appears in document list</t>
  </si>
  <si>
    <t>Not Tested</t>
  </si>
  <si>
    <t>Medium</t>
  </si>
  <si>
    <t>Not Attended</t>
  </si>
  <si>
    <t>TC-002</t>
  </si>
  <si>
    <t>Upload scanned image (PNG) for OCR</t>
  </si>
  <si>
    <t>1. Select PNG scanned document
2. Upload
3. Wait for OCR processing</t>
  </si>
  <si>
    <t>PNG</t>
  </si>
  <si>
    <t>OCR text extracted correctly; stored in vector DB</t>
  </si>
  <si>
    <t>TC-003</t>
  </si>
  <si>
    <t>Upload a DOCX file</t>
  </si>
  <si>
    <t>1. Select .docx file
2. Upload
3. Verify processing</t>
  </si>
  <si>
    <t>DOCX</t>
  </si>
  <si>
    <t>DOCX parsed; paragraphs chunked and embedded in vector DB</t>
  </si>
  <si>
    <t>TC-004</t>
  </si>
  <si>
    <t>Upload multilingual PDF (Arabic)</t>
  </si>
  <si>
    <t>1. Select Arabic PDF
2. Upload
3. Verify language detection</t>
  </si>
  <si>
    <t>Arabic</t>
  </si>
  <si>
    <t>Language auto-detected as Arabic; chunks stored with language metadata</t>
  </si>
  <si>
    <t>TC-005</t>
  </si>
  <si>
    <t>Upload video file for Whisper transcription</t>
  </si>
  <si>
    <t>1. Select MP4 video
2. Upload
3. Verify transcription</t>
  </si>
  <si>
    <t>MP4/Video</t>
  </si>
  <si>
    <t>Audio transcribed; transcript chunked and stored in vector DB</t>
  </si>
  <si>
    <t>TC-006</t>
  </si>
  <si>
    <t>Upload unsupported file type (.exe)</t>
  </si>
  <si>
    <t>1. Select .exe file
2. Attempt upload</t>
  </si>
  <si>
    <t>EXE</t>
  </si>
  <si>
    <t>N/A</t>
  </si>
  <si>
    <t>Structured error: 'Unsupported file type'; no crash</t>
  </si>
  <si>
    <t>TC-007</t>
  </si>
  <si>
    <t>Upload large PDF (&gt;50 MB)</t>
  </si>
  <si>
    <t>1. Select large PDF
2. Upload
3. Monitor performance</t>
  </si>
  <si>
    <t>Processed within acceptable time; no timeout or memory crash</t>
  </si>
  <si>
    <t>OCR / Parsing</t>
  </si>
  <si>
    <t>TC-008</t>
  </si>
  <si>
    <t>OCR accuracy on printed text</t>
  </si>
  <si>
    <t>1. Upload scanned doc with clear printed text
2. Review extracted text</t>
  </si>
  <si>
    <t>JPG</t>
  </si>
  <si>
    <t>OCR accuracy ≥ 95%; all paragraphs extracted</t>
  </si>
  <si>
    <t>TC-009</t>
  </si>
  <si>
    <t>OCR on handwritten text</t>
  </si>
  <si>
    <t>1. Upload image with handwritten notes
2. Run OCR</t>
  </si>
  <si>
    <t>Partial extraction; warning if confidence &lt; 70%</t>
  </si>
  <si>
    <t>TC-010</t>
  </si>
  <si>
    <t>Table extraction from PDF</t>
  </si>
  <si>
    <t>1. Upload PDF with data tables
2. Verify extracted content</t>
  </si>
  <si>
    <t>Tables extracted as structured text; rows/cols preserved</t>
  </si>
  <si>
    <t>Chunking &amp; Embedding</t>
  </si>
  <si>
    <t>TC-011</t>
  </si>
  <si>
    <t>Semantic chunking of long document</t>
  </si>
  <si>
    <t>1. Upload 50-page PDF
2. Check chunk count in logs</t>
  </si>
  <si>
    <t>Document split into 300–500 token chunks; metadata stored per chunk</t>
  </si>
  <si>
    <t>TC-012</t>
  </si>
  <si>
    <t>Embedding generation per chunk</t>
  </si>
  <si>
    <t>1. Upload PDF
2. Inspect vector DB entries</t>
  </si>
  <si>
    <t>Each chunk has embedding vector; chunk_id, source, timestamp in metadata</t>
  </si>
  <si>
    <t>Vector DB / Retrieval</t>
  </si>
  <si>
    <t>TC-013</t>
  </si>
  <si>
    <t>Top-K retrieval returns relevant chunks</t>
  </si>
  <si>
    <t>1. Upload document
2. Submit related query
3. Check retrieved chunks</t>
  </si>
  <si>
    <t>Top 5 chunks relevant to query; cosine similarity &gt; 0.75</t>
  </si>
  <si>
    <t>TC-014</t>
  </si>
  <si>
    <t>Retrieval — no relevant content in DB</t>
  </si>
  <si>
    <t>1. Submit query on topic not in any uploaded document</t>
  </si>
  <si>
    <t>Response: 'The document does not contain enough relevant information.'</t>
  </si>
  <si>
    <t>Chat / Q&amp;A</t>
  </si>
  <si>
    <t>TC-015</t>
  </si>
  <si>
    <t>Factual question about uploaded PDF</t>
  </si>
  <si>
    <t>1. Upload PDF report
2. Ask 'What is the total revenue in 2024?'</t>
  </si>
  <si>
    <t>Correct context-grounded answer; no hallucination; source chunk cited</t>
  </si>
  <si>
    <t>TC-016</t>
  </si>
  <si>
    <t>Multi-turn conversation context retention</t>
  </si>
  <si>
    <t>1. Ask initial question
2. Ask follow-up referencing prior answer</t>
  </si>
  <si>
    <t>System uses session context to answer follow-up correctly</t>
  </si>
  <si>
    <t>TC-017</t>
  </si>
  <si>
    <t>Query in French on English document</t>
  </si>
  <si>
    <t>1. Upload English document
2. Ask question in French</t>
  </si>
  <si>
    <t>French</t>
  </si>
  <si>
    <t>System detects query language; answer is context-grounded</t>
  </si>
  <si>
    <t>TC-018</t>
  </si>
  <si>
    <t>Vague / ambiguous query</t>
  </si>
  <si>
    <t>1. Ask 'Tell me everything'</t>
  </si>
  <si>
    <t>System asks clarification OR returns top-level summary from chunks</t>
  </si>
  <si>
    <t>API / Backend</t>
  </si>
  <si>
    <t>TC-019</t>
  </si>
  <si>
    <t>POST /upload — valid file response</t>
  </si>
  <si>
    <t>1. Send POST with valid file to /upload
2. Check response JSON</t>
  </si>
  <si>
    <t>HTTP 200; JSON with file_id, chunk_count, status:'processed'</t>
  </si>
  <si>
    <t>TC-020</t>
  </si>
  <si>
    <t>POST /query — retrieval response</t>
  </si>
  <si>
    <t>1. Send POST to /query with question and file_id</t>
  </si>
  <si>
    <t>HTTP 200; JSON with answer, source_chunks[], confidence_score</t>
  </si>
  <si>
    <t>TC-021</t>
  </si>
  <si>
    <t>API error — missing payload</t>
  </si>
  <si>
    <t>1. Send POST /query with empty body</t>
  </si>
  <si>
    <t>HTTP 422; structured error: {'error': 'Missing required field: query'}</t>
  </si>
  <si>
    <t>Frontend (React)</t>
  </si>
  <si>
    <t>TC-022</t>
  </si>
  <si>
    <t>File upload UI — drag and drop</t>
  </si>
  <si>
    <t>1. Open web app
2. Drag PDF onto upload zone</t>
  </si>
  <si>
    <t>File accepted; upload progress bar shown; success toast displayed</t>
  </si>
  <si>
    <t>TC-023</t>
  </si>
  <si>
    <t>Chat interface renders correctly</t>
  </si>
  <si>
    <t>1. Open Chat tab
2. Check all UI elements</t>
  </si>
  <si>
    <t>Chat input, send button, message history panel render; no console errors</t>
  </si>
  <si>
    <t>TC-024</t>
  </si>
  <si>
    <t>Response panel shows retrieved source</t>
  </si>
  <si>
    <t>1. Submit query
2. Inspect response panel</t>
  </si>
  <si>
    <t>Answer displayed with source document name and chunk reference</t>
  </si>
  <si>
    <t>Memory / Session</t>
  </si>
  <si>
    <t>TC-025</t>
  </si>
  <si>
    <t>Session persistence after page refresh</t>
  </si>
  <si>
    <t>1. Upload file
2. Ask question
3. Refresh
4. Ask follow-up</t>
  </si>
  <si>
    <t>Chat history and document context preserved after refresh</t>
  </si>
  <si>
    <t>TC-026</t>
  </si>
  <si>
    <t>New session clears short-term context</t>
  </si>
  <si>
    <t>1. Start new session
2. Ask question from previous session</t>
  </si>
  <si>
    <t>Previous session chat not leaked; only vector DB knowledge available</t>
  </si>
  <si>
    <t>Security &amp; Edge Cases</t>
  </si>
  <si>
    <t>TC-027</t>
  </si>
  <si>
    <t>Malicious filename (path traversal)</t>
  </si>
  <si>
    <t>1. Upload file named '../../etc/passwd.pdf'</t>
  </si>
  <si>
    <t>Filename sanitised; stored safely; no path traversal vulnerability</t>
  </si>
  <si>
    <t>TC-028</t>
  </si>
  <si>
    <t>Upload empty file (0 bytes)</t>
  </si>
  <si>
    <t>1. Upload an empty .txt file</t>
  </si>
  <si>
    <t>TXT</t>
  </si>
  <si>
    <t>Error: 'File is empty or unreadable'; no crash</t>
  </si>
  <si>
    <t>Performance</t>
  </si>
  <si>
    <t>TC-029</t>
  </si>
  <si>
    <t>5 concurrent file uploads</t>
  </si>
  <si>
    <t>1. Upload 5 different files simultaneously</t>
  </si>
  <si>
    <t>Mixed</t>
  </si>
  <si>
    <t>All 5 processed correctly; no data corruption; &lt; 30s per file</t>
  </si>
  <si>
    <t>TC-030</t>
  </si>
  <si>
    <t>Query response time under load</t>
  </si>
  <si>
    <t>1. Submit 10 concurrent queries</t>
  </si>
  <si>
    <t>All queries return within 5 seconds; no 500 errors</t>
  </si>
  <si>
    <t>UAT SUMMARY DASHBOARD</t>
  </si>
  <si>
    <t>📋  TEAM TEST STATUS</t>
  </si>
  <si>
    <t>🔒  ADMIN ATTENDANCE</t>
  </si>
  <si>
    <t>Count</t>
  </si>
  <si>
    <t>% of Total</t>
  </si>
  <si>
    <t>In Progress</t>
  </si>
  <si>
    <t>Attending</t>
  </si>
  <si>
    <t>Pass</t>
  </si>
  <si>
    <t>Attended — Done</t>
  </si>
  <si>
    <t>Fail</t>
  </si>
  <si>
    <t>TOTAL</t>
  </si>
  <si>
    <t>100%</t>
  </si>
  <si>
    <t>Blocked</t>
  </si>
  <si>
    <t>Skipped</t>
  </si>
  <si>
    <t>✅  SYSTEM VERIFICATION</t>
  </si>
  <si>
    <t>Deferred</t>
  </si>
  <si>
    <t>Result</t>
  </si>
  <si>
    <t>Yes — System OK</t>
  </si>
  <si>
    <t>No — Issues Found</t>
  </si>
  <si>
    <t>Partial</t>
  </si>
  <si>
    <t>—</t>
  </si>
  <si>
    <t>TEAM MEMBER REGISTER</t>
  </si>
  <si>
    <t>#</t>
  </si>
  <si>
    <t>Role</t>
  </si>
  <si>
    <t>Email / Notes</t>
  </si>
  <si>
    <t>Backend Developer</t>
  </si>
  <si>
    <t>Frontend Developer</t>
  </si>
  <si>
    <t>QA Engineer</t>
  </si>
  <si>
    <t>ML / AI Engineer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</si>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</sst>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C0000"/>
      <name val="Arial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5" borderId="0" xfId="0" applyFill="1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 applyProtection="1">
      <alignment vertical="top" wrapText="1"/>
      <protection locked="0"/>
    </xf>
    <xf numFmtId="0" fontId="6" fillId="8" borderId="2" xfId="0" applyFont="1" applyFill="1" applyBorder="1" applyAlignment="1">
      <alignment horizontal="center" vertical="top" wrapText="1"/>
    </xf>
    <xf numFmtId="0" fontId="5" fillId="0" borderId="1" xfId="0" applyFont="1" applyBorder="1" applyAlignment="1" applyProtection="1">
      <alignment vertical="top" wrapText="1"/>
      <protection locked="0"/>
    </xf>
    <xf numFmtId="0" fontId="3" fillId="4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8" fillId="9" borderId="1" xfId="0" applyFont="1" applyFill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12" borderId="2" xfId="0" applyFont="1" applyFill="1" applyBorder="1"/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10" borderId="1" xfId="0" applyFont="1" applyFill="1" applyBorder="1"/>
    <xf numFmtId="0" fontId="8" fillId="10" borderId="2" xfId="0" applyFont="1" applyFill="1" applyBorder="1"/>
    <xf numFmtId="0" fontId="8" fillId="11" borderId="1" xfId="0" applyFont="1" applyFill="1" applyBorder="1"/>
    <xf numFmtId="0" fontId="8" fillId="11" borderId="2" xfId="0" applyFont="1" applyFill="1" applyBorder="1"/>
    <xf numFmtId="0" fontId="8" fillId="12" borderId="1" xfId="0" applyFont="1" applyFill="1" applyBorder="1"/>
    <xf numFmtId="0" fontId="8" fillId="13" borderId="1" xfId="0" applyFont="1" applyFill="1" applyBorder="1"/>
    <xf numFmtId="0" fontId="8" fillId="7" borderId="1" xfId="0" applyFont="1" applyFill="1" applyBorder="1"/>
    <xf numFmtId="0" fontId="8" fillId="8" borderId="1" xfId="0" applyFont="1" applyFill="1" applyBorder="1"/>
    <xf numFmtId="0" fontId="3" fillId="2" borderId="1" xfId="0" applyFont="1" applyFill="1" applyBorder="1" applyAlignment="1">
      <alignment horizontal="center"/>
    </xf>
    <xf numFmtId="0" fontId="8" fillId="13" borderId="2" xfId="0" applyFont="1" applyFill="1" applyBorder="1"/>
    <xf numFmtId="0" fontId="8" fillId="9" borderId="2" xfId="0" applyFont="1" applyFill="1" applyBorder="1"/>
    <xf numFmtId="0" fontId="8" fillId="0" borderId="1" xfId="0" applyFont="1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>
      <pane ySplit="5" topLeftCell="A6" activePane="bottomLeft" state="frozen"/>
      <selection pane="bottomLeft" activeCell="A2" sqref="A2:U2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2" customWidth="1"/>
    <col min="5" max="5" width="38" customWidth="1"/>
    <col min="6" max="6" width="44" customWidth="1"/>
    <col min="7" max="7" width="15" customWidth="1"/>
    <col min="8" max="8" width="16" customWidth="1"/>
    <col min="9" max="9" width="42" customWidth="1"/>
    <col min="10" max="10" width="32" customWidth="1"/>
    <col min="11" max="11" width="14" customWidth="1"/>
    <col min="12" max="12" width="28" customWidth="1"/>
    <col min="13" max="13" width="11" customWidth="1"/>
    <col min="14" max="14" width="14" customWidth="1"/>
    <col min="15" max="15" width="3" customWidth="1"/>
    <col min="16" max="16" width="20" customWidth="1"/>
    <col min="17" max="17" width="17" customWidth="1"/>
    <col min="18" max="18" width="18" customWidth="1"/>
    <col min="19" max="19" width="14" customWidth="1"/>
    <col min="20" max="20" width="26" customWidth="1"/>
    <col min="21" max="21" width="16" customWidth="1"/>
  </cols>
  <sheetData>
    <row r="1" spans="1:21" ht="31.95" customHeight="1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19.95" customHeight="1" x14ac:dyDescent="0.3">
      <c r="A2" s="32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6" customHeight="1" x14ac:dyDescent="0.3"/>
    <row r="4" spans="1:21" ht="22.05" customHeight="1" x14ac:dyDescent="0.3">
      <c r="A4" s="30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"/>
      <c r="P4" s="31" t="s">
        <v>3</v>
      </c>
      <c r="Q4" s="28"/>
      <c r="R4" s="28"/>
      <c r="S4" s="28"/>
      <c r="T4" s="28"/>
      <c r="U4" s="28"/>
    </row>
    <row r="5" spans="1:21" ht="40.049999999999997" customHeight="1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3"/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</row>
    <row r="6" spans="1:21" ht="58.05" customHeight="1" x14ac:dyDescent="0.3">
      <c r="A6" s="5">
        <v>1</v>
      </c>
      <c r="B6" s="5"/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/>
      <c r="K6" s="5" t="s">
        <v>31</v>
      </c>
      <c r="L6" s="5"/>
      <c r="M6" s="5" t="s">
        <v>32</v>
      </c>
      <c r="N6" s="5"/>
      <c r="O6" s="1"/>
      <c r="P6" s="6"/>
      <c r="Q6" s="6" t="s">
        <v>33</v>
      </c>
      <c r="R6" s="6"/>
      <c r="S6" s="6"/>
      <c r="T6" s="6"/>
      <c r="U6" s="6"/>
    </row>
    <row r="7" spans="1:21" ht="58.05" customHeight="1" x14ac:dyDescent="0.3">
      <c r="A7" s="7">
        <v>2</v>
      </c>
      <c r="B7" s="7"/>
      <c r="C7" s="7" t="s">
        <v>24</v>
      </c>
      <c r="D7" s="7" t="s">
        <v>34</v>
      </c>
      <c r="E7" s="7" t="s">
        <v>35</v>
      </c>
      <c r="F7" s="7" t="s">
        <v>36</v>
      </c>
      <c r="G7" s="7" t="s">
        <v>37</v>
      </c>
      <c r="H7" s="7" t="s">
        <v>29</v>
      </c>
      <c r="I7" s="7" t="s">
        <v>38</v>
      </c>
      <c r="J7" s="7"/>
      <c r="K7" s="7" t="s">
        <v>31</v>
      </c>
      <c r="L7" s="7"/>
      <c r="M7" s="7" t="s">
        <v>32</v>
      </c>
      <c r="N7" s="7"/>
      <c r="O7" s="1"/>
      <c r="P7" s="6"/>
      <c r="Q7" s="6" t="s">
        <v>33</v>
      </c>
      <c r="R7" s="6"/>
      <c r="S7" s="6"/>
      <c r="T7" s="6"/>
      <c r="U7" s="6"/>
    </row>
    <row r="8" spans="1:21" ht="58.05" customHeight="1" x14ac:dyDescent="0.3">
      <c r="A8" s="5">
        <v>3</v>
      </c>
      <c r="B8" s="5"/>
      <c r="C8" s="5" t="s">
        <v>24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29</v>
      </c>
      <c r="I8" s="5" t="s">
        <v>43</v>
      </c>
      <c r="J8" s="5"/>
      <c r="K8" s="5" t="s">
        <v>31</v>
      </c>
      <c r="L8" s="5"/>
      <c r="M8" s="5" t="s">
        <v>32</v>
      </c>
      <c r="N8" s="5"/>
      <c r="O8" s="1"/>
      <c r="P8" s="6"/>
      <c r="Q8" s="6" t="s">
        <v>33</v>
      </c>
      <c r="R8" s="6"/>
      <c r="S8" s="6"/>
      <c r="T8" s="6"/>
      <c r="U8" s="6"/>
    </row>
    <row r="9" spans="1:21" ht="58.05" customHeight="1" x14ac:dyDescent="0.3">
      <c r="A9" s="7">
        <v>4</v>
      </c>
      <c r="B9" s="7"/>
      <c r="C9" s="7" t="s">
        <v>24</v>
      </c>
      <c r="D9" s="7" t="s">
        <v>44</v>
      </c>
      <c r="E9" s="7" t="s">
        <v>45</v>
      </c>
      <c r="F9" s="7" t="s">
        <v>46</v>
      </c>
      <c r="G9" s="7" t="s">
        <v>28</v>
      </c>
      <c r="H9" s="7" t="s">
        <v>47</v>
      </c>
      <c r="I9" s="7" t="s">
        <v>48</v>
      </c>
      <c r="J9" s="7"/>
      <c r="K9" s="7" t="s">
        <v>31</v>
      </c>
      <c r="L9" s="7"/>
      <c r="M9" s="7" t="s">
        <v>32</v>
      </c>
      <c r="N9" s="7"/>
      <c r="O9" s="1"/>
      <c r="P9" s="6"/>
      <c r="Q9" s="6" t="s">
        <v>33</v>
      </c>
      <c r="R9" s="6"/>
      <c r="S9" s="6"/>
      <c r="T9" s="6"/>
      <c r="U9" s="6"/>
    </row>
    <row r="10" spans="1:21" ht="58.05" customHeight="1" x14ac:dyDescent="0.3">
      <c r="A10" s="5">
        <v>5</v>
      </c>
      <c r="B10" s="5"/>
      <c r="C10" s="5" t="s">
        <v>24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29</v>
      </c>
      <c r="I10" s="5" t="s">
        <v>53</v>
      </c>
      <c r="J10" s="5"/>
      <c r="K10" s="5" t="s">
        <v>31</v>
      </c>
      <c r="L10" s="5"/>
      <c r="M10" s="5" t="s">
        <v>32</v>
      </c>
      <c r="N10" s="5"/>
      <c r="O10" s="1"/>
      <c r="P10" s="6"/>
      <c r="Q10" s="6" t="s">
        <v>33</v>
      </c>
      <c r="R10" s="6"/>
      <c r="S10" s="6"/>
      <c r="T10" s="6"/>
      <c r="U10" s="6"/>
    </row>
    <row r="11" spans="1:21" ht="58.05" customHeight="1" x14ac:dyDescent="0.3">
      <c r="A11" s="7">
        <v>6</v>
      </c>
      <c r="B11" s="7"/>
      <c r="C11" s="7" t="s">
        <v>24</v>
      </c>
      <c r="D11" s="7" t="s">
        <v>54</v>
      </c>
      <c r="E11" s="7" t="s">
        <v>55</v>
      </c>
      <c r="F11" s="7" t="s">
        <v>56</v>
      </c>
      <c r="G11" s="7" t="s">
        <v>57</v>
      </c>
      <c r="H11" s="7" t="s">
        <v>58</v>
      </c>
      <c r="I11" s="7" t="s">
        <v>59</v>
      </c>
      <c r="J11" s="7"/>
      <c r="K11" s="7" t="s">
        <v>31</v>
      </c>
      <c r="L11" s="7"/>
      <c r="M11" s="7" t="s">
        <v>32</v>
      </c>
      <c r="N11" s="7"/>
      <c r="O11" s="1"/>
      <c r="P11" s="6"/>
      <c r="Q11" s="6" t="s">
        <v>33</v>
      </c>
      <c r="R11" s="6"/>
      <c r="S11" s="6"/>
      <c r="T11" s="6"/>
      <c r="U11" s="6"/>
    </row>
    <row r="12" spans="1:21" ht="58.05" customHeight="1" x14ac:dyDescent="0.3">
      <c r="A12" s="5">
        <v>7</v>
      </c>
      <c r="B12" s="5"/>
      <c r="C12" s="5" t="s">
        <v>24</v>
      </c>
      <c r="D12" s="5" t="s">
        <v>60</v>
      </c>
      <c r="E12" s="5" t="s">
        <v>61</v>
      </c>
      <c r="F12" s="5" t="s">
        <v>62</v>
      </c>
      <c r="G12" s="5" t="s">
        <v>28</v>
      </c>
      <c r="H12" s="5" t="s">
        <v>29</v>
      </c>
      <c r="I12" s="5" t="s">
        <v>63</v>
      </c>
      <c r="J12" s="5"/>
      <c r="K12" s="5" t="s">
        <v>31</v>
      </c>
      <c r="L12" s="5"/>
      <c r="M12" s="5" t="s">
        <v>32</v>
      </c>
      <c r="N12" s="5"/>
      <c r="O12" s="1"/>
      <c r="P12" s="6"/>
      <c r="Q12" s="6" t="s">
        <v>33</v>
      </c>
      <c r="R12" s="6"/>
      <c r="S12" s="6"/>
      <c r="T12" s="6"/>
      <c r="U12" s="6"/>
    </row>
    <row r="13" spans="1:21" ht="58.05" customHeight="1" x14ac:dyDescent="0.3">
      <c r="A13" s="7">
        <v>8</v>
      </c>
      <c r="B13" s="7"/>
      <c r="C13" s="7" t="s">
        <v>64</v>
      </c>
      <c r="D13" s="7" t="s">
        <v>65</v>
      </c>
      <c r="E13" s="7" t="s">
        <v>66</v>
      </c>
      <c r="F13" s="7" t="s">
        <v>67</v>
      </c>
      <c r="G13" s="7" t="s">
        <v>68</v>
      </c>
      <c r="H13" s="7" t="s">
        <v>29</v>
      </c>
      <c r="I13" s="7" t="s">
        <v>69</v>
      </c>
      <c r="J13" s="7"/>
      <c r="K13" s="7" t="s">
        <v>31</v>
      </c>
      <c r="L13" s="7"/>
      <c r="M13" s="7" t="s">
        <v>32</v>
      </c>
      <c r="N13" s="7"/>
      <c r="O13" s="1"/>
      <c r="P13" s="6"/>
      <c r="Q13" s="6" t="s">
        <v>33</v>
      </c>
      <c r="R13" s="6"/>
      <c r="S13" s="6"/>
      <c r="T13" s="6"/>
      <c r="U13" s="6"/>
    </row>
    <row r="14" spans="1:21" ht="58.05" customHeight="1" x14ac:dyDescent="0.3">
      <c r="A14" s="5">
        <v>9</v>
      </c>
      <c r="B14" s="5"/>
      <c r="C14" s="5" t="s">
        <v>64</v>
      </c>
      <c r="D14" s="5" t="s">
        <v>70</v>
      </c>
      <c r="E14" s="5" t="s">
        <v>71</v>
      </c>
      <c r="F14" s="5" t="s">
        <v>72</v>
      </c>
      <c r="G14" s="5" t="s">
        <v>37</v>
      </c>
      <c r="H14" s="5" t="s">
        <v>29</v>
      </c>
      <c r="I14" s="5" t="s">
        <v>73</v>
      </c>
      <c r="J14" s="5"/>
      <c r="K14" s="5" t="s">
        <v>31</v>
      </c>
      <c r="L14" s="5"/>
      <c r="M14" s="5" t="s">
        <v>32</v>
      </c>
      <c r="N14" s="5"/>
      <c r="O14" s="1"/>
      <c r="P14" s="6"/>
      <c r="Q14" s="6" t="s">
        <v>33</v>
      </c>
      <c r="R14" s="6"/>
      <c r="S14" s="6"/>
      <c r="T14" s="6"/>
      <c r="U14" s="6"/>
    </row>
    <row r="15" spans="1:21" ht="58.05" customHeight="1" x14ac:dyDescent="0.3">
      <c r="A15" s="7">
        <v>10</v>
      </c>
      <c r="B15" s="7"/>
      <c r="C15" s="7" t="s">
        <v>64</v>
      </c>
      <c r="D15" s="7" t="s">
        <v>74</v>
      </c>
      <c r="E15" s="7" t="s">
        <v>75</v>
      </c>
      <c r="F15" s="7" t="s">
        <v>76</v>
      </c>
      <c r="G15" s="7" t="s">
        <v>28</v>
      </c>
      <c r="H15" s="7" t="s">
        <v>29</v>
      </c>
      <c r="I15" s="7" t="s">
        <v>77</v>
      </c>
      <c r="J15" s="7"/>
      <c r="K15" s="7" t="s">
        <v>31</v>
      </c>
      <c r="L15" s="7"/>
      <c r="M15" s="7" t="s">
        <v>32</v>
      </c>
      <c r="N15" s="7"/>
      <c r="O15" s="1"/>
      <c r="P15" s="6"/>
      <c r="Q15" s="6" t="s">
        <v>33</v>
      </c>
      <c r="R15" s="6"/>
      <c r="S15" s="6"/>
      <c r="T15" s="6"/>
      <c r="U15" s="6"/>
    </row>
    <row r="16" spans="1:21" ht="58.05" customHeight="1" x14ac:dyDescent="0.3">
      <c r="A16" s="5">
        <v>11</v>
      </c>
      <c r="B16" s="5"/>
      <c r="C16" s="5" t="s">
        <v>78</v>
      </c>
      <c r="D16" s="5" t="s">
        <v>79</v>
      </c>
      <c r="E16" s="5" t="s">
        <v>80</v>
      </c>
      <c r="F16" s="5" t="s">
        <v>81</v>
      </c>
      <c r="G16" s="5" t="s">
        <v>28</v>
      </c>
      <c r="H16" s="5" t="s">
        <v>29</v>
      </c>
      <c r="I16" s="5" t="s">
        <v>82</v>
      </c>
      <c r="J16" s="5"/>
      <c r="K16" s="5" t="s">
        <v>31</v>
      </c>
      <c r="L16" s="5"/>
      <c r="M16" s="5" t="s">
        <v>32</v>
      </c>
      <c r="N16" s="5"/>
      <c r="O16" s="1"/>
      <c r="P16" s="6"/>
      <c r="Q16" s="6" t="s">
        <v>33</v>
      </c>
      <c r="R16" s="6"/>
      <c r="S16" s="6"/>
      <c r="T16" s="6"/>
      <c r="U16" s="6"/>
    </row>
    <row r="17" spans="1:21" ht="58.05" customHeight="1" x14ac:dyDescent="0.3">
      <c r="A17" s="7">
        <v>12</v>
      </c>
      <c r="B17" s="7"/>
      <c r="C17" s="7" t="s">
        <v>78</v>
      </c>
      <c r="D17" s="7" t="s">
        <v>83</v>
      </c>
      <c r="E17" s="7" t="s">
        <v>84</v>
      </c>
      <c r="F17" s="7" t="s">
        <v>85</v>
      </c>
      <c r="G17" s="7" t="s">
        <v>28</v>
      </c>
      <c r="H17" s="7" t="s">
        <v>29</v>
      </c>
      <c r="I17" s="7" t="s">
        <v>86</v>
      </c>
      <c r="J17" s="7"/>
      <c r="K17" s="7" t="s">
        <v>31</v>
      </c>
      <c r="L17" s="7"/>
      <c r="M17" s="7" t="s">
        <v>32</v>
      </c>
      <c r="N17" s="7"/>
      <c r="O17" s="1"/>
      <c r="P17" s="6"/>
      <c r="Q17" s="6" t="s">
        <v>33</v>
      </c>
      <c r="R17" s="6"/>
      <c r="S17" s="6"/>
      <c r="T17" s="6"/>
      <c r="U17" s="6"/>
    </row>
    <row r="18" spans="1:21" ht="58.05" customHeight="1" x14ac:dyDescent="0.3">
      <c r="A18" s="5">
        <v>13</v>
      </c>
      <c r="B18" s="5"/>
      <c r="C18" s="5" t="s">
        <v>87</v>
      </c>
      <c r="D18" s="5" t="s">
        <v>88</v>
      </c>
      <c r="E18" s="5" t="s">
        <v>89</v>
      </c>
      <c r="F18" s="5" t="s">
        <v>90</v>
      </c>
      <c r="G18" s="5" t="s">
        <v>28</v>
      </c>
      <c r="H18" s="5" t="s">
        <v>29</v>
      </c>
      <c r="I18" s="5" t="s">
        <v>91</v>
      </c>
      <c r="J18" s="5"/>
      <c r="K18" s="5" t="s">
        <v>31</v>
      </c>
      <c r="L18" s="5"/>
      <c r="M18" s="5" t="s">
        <v>32</v>
      </c>
      <c r="N18" s="5"/>
      <c r="O18" s="1"/>
      <c r="P18" s="6"/>
      <c r="Q18" s="6" t="s">
        <v>33</v>
      </c>
      <c r="R18" s="6"/>
      <c r="S18" s="6"/>
      <c r="T18" s="6"/>
      <c r="U18" s="6"/>
    </row>
    <row r="19" spans="1:21" ht="58.05" customHeight="1" x14ac:dyDescent="0.3">
      <c r="A19" s="7">
        <v>14</v>
      </c>
      <c r="B19" s="7"/>
      <c r="C19" s="7" t="s">
        <v>87</v>
      </c>
      <c r="D19" s="7" t="s">
        <v>92</v>
      </c>
      <c r="E19" s="7" t="s">
        <v>93</v>
      </c>
      <c r="F19" s="7" t="s">
        <v>94</v>
      </c>
      <c r="G19" s="7" t="s">
        <v>58</v>
      </c>
      <c r="H19" s="7" t="s">
        <v>29</v>
      </c>
      <c r="I19" s="7" t="s">
        <v>95</v>
      </c>
      <c r="J19" s="7"/>
      <c r="K19" s="7" t="s">
        <v>31</v>
      </c>
      <c r="L19" s="7"/>
      <c r="M19" s="7" t="s">
        <v>32</v>
      </c>
      <c r="N19" s="7"/>
      <c r="O19" s="1"/>
      <c r="P19" s="6"/>
      <c r="Q19" s="6" t="s">
        <v>33</v>
      </c>
      <c r="R19" s="6"/>
      <c r="S19" s="6"/>
      <c r="T19" s="6"/>
      <c r="U19" s="6"/>
    </row>
    <row r="20" spans="1:21" ht="58.05" customHeight="1" x14ac:dyDescent="0.3">
      <c r="A20" s="5">
        <v>15</v>
      </c>
      <c r="B20" s="5"/>
      <c r="C20" s="5" t="s">
        <v>96</v>
      </c>
      <c r="D20" s="5" t="s">
        <v>97</v>
      </c>
      <c r="E20" s="5" t="s">
        <v>98</v>
      </c>
      <c r="F20" s="5" t="s">
        <v>99</v>
      </c>
      <c r="G20" s="5" t="s">
        <v>28</v>
      </c>
      <c r="H20" s="5" t="s">
        <v>29</v>
      </c>
      <c r="I20" s="5" t="s">
        <v>100</v>
      </c>
      <c r="J20" s="5"/>
      <c r="K20" s="5" t="s">
        <v>31</v>
      </c>
      <c r="L20" s="5"/>
      <c r="M20" s="5" t="s">
        <v>32</v>
      </c>
      <c r="N20" s="5"/>
      <c r="O20" s="1"/>
      <c r="P20" s="6"/>
      <c r="Q20" s="6" t="s">
        <v>33</v>
      </c>
      <c r="R20" s="6"/>
      <c r="S20" s="6"/>
      <c r="T20" s="6"/>
      <c r="U20" s="6"/>
    </row>
    <row r="21" spans="1:21" ht="58.05" customHeight="1" x14ac:dyDescent="0.3">
      <c r="A21" s="7">
        <v>16</v>
      </c>
      <c r="B21" s="7"/>
      <c r="C21" s="7" t="s">
        <v>96</v>
      </c>
      <c r="D21" s="7" t="s">
        <v>101</v>
      </c>
      <c r="E21" s="7" t="s">
        <v>102</v>
      </c>
      <c r="F21" s="7" t="s">
        <v>103</v>
      </c>
      <c r="G21" s="7" t="s">
        <v>28</v>
      </c>
      <c r="H21" s="7" t="s">
        <v>29</v>
      </c>
      <c r="I21" s="7" t="s">
        <v>104</v>
      </c>
      <c r="J21" s="7"/>
      <c r="K21" s="7" t="s">
        <v>31</v>
      </c>
      <c r="L21" s="7"/>
      <c r="M21" s="7" t="s">
        <v>32</v>
      </c>
      <c r="N21" s="7"/>
      <c r="O21" s="1"/>
      <c r="P21" s="6"/>
      <c r="Q21" s="6" t="s">
        <v>33</v>
      </c>
      <c r="R21" s="6"/>
      <c r="S21" s="6"/>
      <c r="T21" s="6"/>
      <c r="U21" s="6"/>
    </row>
    <row r="22" spans="1:21" ht="58.05" customHeight="1" x14ac:dyDescent="0.3">
      <c r="A22" s="5">
        <v>17</v>
      </c>
      <c r="B22" s="5"/>
      <c r="C22" s="5" t="s">
        <v>96</v>
      </c>
      <c r="D22" s="5" t="s">
        <v>105</v>
      </c>
      <c r="E22" s="5" t="s">
        <v>106</v>
      </c>
      <c r="F22" s="5" t="s">
        <v>107</v>
      </c>
      <c r="G22" s="5" t="s">
        <v>28</v>
      </c>
      <c r="H22" s="5" t="s">
        <v>108</v>
      </c>
      <c r="I22" s="5" t="s">
        <v>109</v>
      </c>
      <c r="J22" s="5"/>
      <c r="K22" s="5" t="s">
        <v>31</v>
      </c>
      <c r="L22" s="5"/>
      <c r="M22" s="5" t="s">
        <v>32</v>
      </c>
      <c r="N22" s="5"/>
      <c r="O22" s="1"/>
      <c r="P22" s="6"/>
      <c r="Q22" s="6" t="s">
        <v>33</v>
      </c>
      <c r="R22" s="6"/>
      <c r="S22" s="6"/>
      <c r="T22" s="6"/>
      <c r="U22" s="6"/>
    </row>
    <row r="23" spans="1:21" ht="58.05" customHeight="1" x14ac:dyDescent="0.3">
      <c r="A23" s="7">
        <v>18</v>
      </c>
      <c r="B23" s="7"/>
      <c r="C23" s="7" t="s">
        <v>96</v>
      </c>
      <c r="D23" s="7" t="s">
        <v>110</v>
      </c>
      <c r="E23" s="7" t="s">
        <v>111</v>
      </c>
      <c r="F23" s="7" t="s">
        <v>112</v>
      </c>
      <c r="G23" s="7" t="s">
        <v>58</v>
      </c>
      <c r="H23" s="7" t="s">
        <v>29</v>
      </c>
      <c r="I23" s="7" t="s">
        <v>113</v>
      </c>
      <c r="J23" s="7"/>
      <c r="K23" s="7" t="s">
        <v>31</v>
      </c>
      <c r="L23" s="7"/>
      <c r="M23" s="7" t="s">
        <v>32</v>
      </c>
      <c r="N23" s="7"/>
      <c r="O23" s="1"/>
      <c r="P23" s="6"/>
      <c r="Q23" s="6" t="s">
        <v>33</v>
      </c>
      <c r="R23" s="6"/>
      <c r="S23" s="6"/>
      <c r="T23" s="6"/>
      <c r="U23" s="6"/>
    </row>
    <row r="24" spans="1:21" ht="58.05" customHeight="1" x14ac:dyDescent="0.3">
      <c r="A24" s="5">
        <v>19</v>
      </c>
      <c r="B24" s="5"/>
      <c r="C24" s="5" t="s">
        <v>114</v>
      </c>
      <c r="D24" s="5" t="s">
        <v>115</v>
      </c>
      <c r="E24" s="5" t="s">
        <v>116</v>
      </c>
      <c r="F24" s="5" t="s">
        <v>117</v>
      </c>
      <c r="G24" s="5" t="s">
        <v>28</v>
      </c>
      <c r="H24" s="5" t="s">
        <v>29</v>
      </c>
      <c r="I24" s="5" t="s">
        <v>118</v>
      </c>
      <c r="J24" s="5"/>
      <c r="K24" s="5" t="s">
        <v>31</v>
      </c>
      <c r="L24" s="5"/>
      <c r="M24" s="5" t="s">
        <v>32</v>
      </c>
      <c r="N24" s="5"/>
      <c r="O24" s="1"/>
      <c r="P24" s="6"/>
      <c r="Q24" s="6" t="s">
        <v>33</v>
      </c>
      <c r="R24" s="6"/>
      <c r="S24" s="6"/>
      <c r="T24" s="6"/>
      <c r="U24" s="6"/>
    </row>
    <row r="25" spans="1:21" ht="58.05" customHeight="1" x14ac:dyDescent="0.3">
      <c r="A25" s="7">
        <v>20</v>
      </c>
      <c r="B25" s="7"/>
      <c r="C25" s="7" t="s">
        <v>114</v>
      </c>
      <c r="D25" s="7" t="s">
        <v>119</v>
      </c>
      <c r="E25" s="7" t="s">
        <v>120</v>
      </c>
      <c r="F25" s="7" t="s">
        <v>121</v>
      </c>
      <c r="G25" s="7" t="s">
        <v>58</v>
      </c>
      <c r="H25" s="7" t="s">
        <v>29</v>
      </c>
      <c r="I25" s="7" t="s">
        <v>122</v>
      </c>
      <c r="J25" s="7"/>
      <c r="K25" s="7" t="s">
        <v>31</v>
      </c>
      <c r="L25" s="7"/>
      <c r="M25" s="7" t="s">
        <v>32</v>
      </c>
      <c r="N25" s="7"/>
      <c r="O25" s="1"/>
      <c r="P25" s="6"/>
      <c r="Q25" s="6" t="s">
        <v>33</v>
      </c>
      <c r="R25" s="6"/>
      <c r="S25" s="6"/>
      <c r="T25" s="6"/>
      <c r="U25" s="6"/>
    </row>
    <row r="26" spans="1:21" ht="58.05" customHeight="1" x14ac:dyDescent="0.3">
      <c r="A26" s="5">
        <v>21</v>
      </c>
      <c r="B26" s="5"/>
      <c r="C26" s="5" t="s">
        <v>114</v>
      </c>
      <c r="D26" s="5" t="s">
        <v>123</v>
      </c>
      <c r="E26" s="5" t="s">
        <v>124</v>
      </c>
      <c r="F26" s="5" t="s">
        <v>125</v>
      </c>
      <c r="G26" s="5" t="s">
        <v>58</v>
      </c>
      <c r="H26" s="5" t="s">
        <v>29</v>
      </c>
      <c r="I26" s="5" t="s">
        <v>126</v>
      </c>
      <c r="J26" s="5"/>
      <c r="K26" s="5" t="s">
        <v>31</v>
      </c>
      <c r="L26" s="5"/>
      <c r="M26" s="5" t="s">
        <v>32</v>
      </c>
      <c r="N26" s="5"/>
      <c r="O26" s="1"/>
      <c r="P26" s="6"/>
      <c r="Q26" s="6" t="s">
        <v>33</v>
      </c>
      <c r="R26" s="6"/>
      <c r="S26" s="6"/>
      <c r="T26" s="6"/>
      <c r="U26" s="6"/>
    </row>
    <row r="27" spans="1:21" ht="58.05" customHeight="1" x14ac:dyDescent="0.3">
      <c r="A27" s="7">
        <v>22</v>
      </c>
      <c r="B27" s="7"/>
      <c r="C27" s="7" t="s">
        <v>127</v>
      </c>
      <c r="D27" s="7" t="s">
        <v>128</v>
      </c>
      <c r="E27" s="7" t="s">
        <v>129</v>
      </c>
      <c r="F27" s="7" t="s">
        <v>130</v>
      </c>
      <c r="G27" s="7" t="s">
        <v>28</v>
      </c>
      <c r="H27" s="7" t="s">
        <v>29</v>
      </c>
      <c r="I27" s="7" t="s">
        <v>131</v>
      </c>
      <c r="J27" s="7"/>
      <c r="K27" s="7" t="s">
        <v>31</v>
      </c>
      <c r="L27" s="7"/>
      <c r="M27" s="7" t="s">
        <v>32</v>
      </c>
      <c r="N27" s="7"/>
      <c r="O27" s="1"/>
      <c r="P27" s="6"/>
      <c r="Q27" s="6" t="s">
        <v>33</v>
      </c>
      <c r="R27" s="6"/>
      <c r="S27" s="6"/>
      <c r="T27" s="6"/>
      <c r="U27" s="6"/>
    </row>
    <row r="28" spans="1:21" ht="58.05" customHeight="1" x14ac:dyDescent="0.3">
      <c r="A28" s="5">
        <v>23</v>
      </c>
      <c r="B28" s="5"/>
      <c r="C28" s="5" t="s">
        <v>127</v>
      </c>
      <c r="D28" s="5" t="s">
        <v>132</v>
      </c>
      <c r="E28" s="5" t="s">
        <v>133</v>
      </c>
      <c r="F28" s="5" t="s">
        <v>134</v>
      </c>
      <c r="G28" s="5" t="s">
        <v>58</v>
      </c>
      <c r="H28" s="5" t="s">
        <v>29</v>
      </c>
      <c r="I28" s="5" t="s">
        <v>135</v>
      </c>
      <c r="J28" s="5"/>
      <c r="K28" s="5" t="s">
        <v>31</v>
      </c>
      <c r="L28" s="5"/>
      <c r="M28" s="5" t="s">
        <v>32</v>
      </c>
      <c r="N28" s="5"/>
      <c r="O28" s="1"/>
      <c r="P28" s="6"/>
      <c r="Q28" s="6" t="s">
        <v>33</v>
      </c>
      <c r="R28" s="6"/>
      <c r="S28" s="6"/>
      <c r="T28" s="6"/>
      <c r="U28" s="6"/>
    </row>
    <row r="29" spans="1:21" ht="58.05" customHeight="1" x14ac:dyDescent="0.3">
      <c r="A29" s="7">
        <v>24</v>
      </c>
      <c r="B29" s="7"/>
      <c r="C29" s="7" t="s">
        <v>127</v>
      </c>
      <c r="D29" s="7" t="s">
        <v>136</v>
      </c>
      <c r="E29" s="7" t="s">
        <v>137</v>
      </c>
      <c r="F29" s="7" t="s">
        <v>138</v>
      </c>
      <c r="G29" s="7" t="s">
        <v>28</v>
      </c>
      <c r="H29" s="7" t="s">
        <v>29</v>
      </c>
      <c r="I29" s="7" t="s">
        <v>139</v>
      </c>
      <c r="J29" s="7"/>
      <c r="K29" s="7" t="s">
        <v>31</v>
      </c>
      <c r="L29" s="7"/>
      <c r="M29" s="7" t="s">
        <v>32</v>
      </c>
      <c r="N29" s="7"/>
      <c r="O29" s="1"/>
      <c r="P29" s="6"/>
      <c r="Q29" s="6" t="s">
        <v>33</v>
      </c>
      <c r="R29" s="6"/>
      <c r="S29" s="6"/>
      <c r="T29" s="6"/>
      <c r="U29" s="6"/>
    </row>
    <row r="30" spans="1:21" ht="58.05" customHeight="1" x14ac:dyDescent="0.3">
      <c r="A30" s="5">
        <v>25</v>
      </c>
      <c r="B30" s="5"/>
      <c r="C30" s="5" t="s">
        <v>140</v>
      </c>
      <c r="D30" s="5" t="s">
        <v>141</v>
      </c>
      <c r="E30" s="5" t="s">
        <v>142</v>
      </c>
      <c r="F30" s="5" t="s">
        <v>143</v>
      </c>
      <c r="G30" s="5" t="s">
        <v>28</v>
      </c>
      <c r="H30" s="5" t="s">
        <v>29</v>
      </c>
      <c r="I30" s="5" t="s">
        <v>144</v>
      </c>
      <c r="J30" s="5"/>
      <c r="K30" s="5" t="s">
        <v>31</v>
      </c>
      <c r="L30" s="5"/>
      <c r="M30" s="5" t="s">
        <v>32</v>
      </c>
      <c r="N30" s="5"/>
      <c r="O30" s="1"/>
      <c r="P30" s="6"/>
      <c r="Q30" s="6" t="s">
        <v>33</v>
      </c>
      <c r="R30" s="6"/>
      <c r="S30" s="6"/>
      <c r="T30" s="6"/>
      <c r="U30" s="6"/>
    </row>
    <row r="31" spans="1:21" ht="58.05" customHeight="1" x14ac:dyDescent="0.3">
      <c r="A31" s="7">
        <v>26</v>
      </c>
      <c r="B31" s="7"/>
      <c r="C31" s="7" t="s">
        <v>140</v>
      </c>
      <c r="D31" s="7" t="s">
        <v>145</v>
      </c>
      <c r="E31" s="7" t="s">
        <v>146</v>
      </c>
      <c r="F31" s="7" t="s">
        <v>147</v>
      </c>
      <c r="G31" s="7" t="s">
        <v>58</v>
      </c>
      <c r="H31" s="7" t="s">
        <v>29</v>
      </c>
      <c r="I31" s="7" t="s">
        <v>148</v>
      </c>
      <c r="J31" s="7"/>
      <c r="K31" s="7" t="s">
        <v>31</v>
      </c>
      <c r="L31" s="7"/>
      <c r="M31" s="7" t="s">
        <v>32</v>
      </c>
      <c r="N31" s="7"/>
      <c r="O31" s="1"/>
      <c r="P31" s="6"/>
      <c r="Q31" s="6" t="s">
        <v>33</v>
      </c>
      <c r="R31" s="6"/>
      <c r="S31" s="6"/>
      <c r="T31" s="6"/>
      <c r="U31" s="6"/>
    </row>
    <row r="32" spans="1:21" ht="58.05" customHeight="1" x14ac:dyDescent="0.3">
      <c r="A32" s="5">
        <v>27</v>
      </c>
      <c r="B32" s="5"/>
      <c r="C32" s="5" t="s">
        <v>149</v>
      </c>
      <c r="D32" s="5" t="s">
        <v>150</v>
      </c>
      <c r="E32" s="5" t="s">
        <v>151</v>
      </c>
      <c r="F32" s="5" t="s">
        <v>152</v>
      </c>
      <c r="G32" s="5" t="s">
        <v>28</v>
      </c>
      <c r="H32" s="5" t="s">
        <v>29</v>
      </c>
      <c r="I32" s="5" t="s">
        <v>153</v>
      </c>
      <c r="J32" s="5"/>
      <c r="K32" s="5" t="s">
        <v>31</v>
      </c>
      <c r="L32" s="5"/>
      <c r="M32" s="5" t="s">
        <v>32</v>
      </c>
      <c r="N32" s="5"/>
      <c r="O32" s="1"/>
      <c r="P32" s="6"/>
      <c r="Q32" s="6" t="s">
        <v>33</v>
      </c>
      <c r="R32" s="6"/>
      <c r="S32" s="6"/>
      <c r="T32" s="6"/>
      <c r="U32" s="6"/>
    </row>
    <row r="33" spans="1:21" ht="58.05" customHeight="1" x14ac:dyDescent="0.3">
      <c r="A33" s="7">
        <v>28</v>
      </c>
      <c r="B33" s="7"/>
      <c r="C33" s="7" t="s">
        <v>149</v>
      </c>
      <c r="D33" s="7" t="s">
        <v>154</v>
      </c>
      <c r="E33" s="7" t="s">
        <v>155</v>
      </c>
      <c r="F33" s="7" t="s">
        <v>156</v>
      </c>
      <c r="G33" s="7" t="s">
        <v>157</v>
      </c>
      <c r="H33" s="7" t="s">
        <v>29</v>
      </c>
      <c r="I33" s="7" t="s">
        <v>158</v>
      </c>
      <c r="J33" s="7"/>
      <c r="K33" s="7" t="s">
        <v>31</v>
      </c>
      <c r="L33" s="7"/>
      <c r="M33" s="7" t="s">
        <v>32</v>
      </c>
      <c r="N33" s="7"/>
      <c r="O33" s="1"/>
      <c r="P33" s="6"/>
      <c r="Q33" s="6" t="s">
        <v>33</v>
      </c>
      <c r="R33" s="6"/>
      <c r="S33" s="6"/>
      <c r="T33" s="6"/>
      <c r="U33" s="6"/>
    </row>
    <row r="34" spans="1:21" ht="58.05" customHeight="1" x14ac:dyDescent="0.3">
      <c r="A34" s="5">
        <v>29</v>
      </c>
      <c r="B34" s="5"/>
      <c r="C34" s="5" t="s">
        <v>159</v>
      </c>
      <c r="D34" s="5" t="s">
        <v>160</v>
      </c>
      <c r="E34" s="5" t="s">
        <v>161</v>
      </c>
      <c r="F34" s="5" t="s">
        <v>162</v>
      </c>
      <c r="G34" s="5" t="s">
        <v>163</v>
      </c>
      <c r="H34" s="5" t="s">
        <v>29</v>
      </c>
      <c r="I34" s="5" t="s">
        <v>164</v>
      </c>
      <c r="J34" s="5"/>
      <c r="K34" s="5" t="s">
        <v>31</v>
      </c>
      <c r="L34" s="5"/>
      <c r="M34" s="5" t="s">
        <v>32</v>
      </c>
      <c r="N34" s="5"/>
      <c r="O34" s="1"/>
      <c r="P34" s="6"/>
      <c r="Q34" s="6" t="s">
        <v>33</v>
      </c>
      <c r="R34" s="6"/>
      <c r="S34" s="6"/>
      <c r="T34" s="6"/>
      <c r="U34" s="6"/>
    </row>
    <row r="35" spans="1:21" ht="58.05" customHeight="1" x14ac:dyDescent="0.3">
      <c r="A35" s="7">
        <v>30</v>
      </c>
      <c r="B35" s="7"/>
      <c r="C35" s="7" t="s">
        <v>159</v>
      </c>
      <c r="D35" s="7" t="s">
        <v>165</v>
      </c>
      <c r="E35" s="7" t="s">
        <v>166</v>
      </c>
      <c r="F35" s="7" t="s">
        <v>167</v>
      </c>
      <c r="G35" s="7" t="s">
        <v>58</v>
      </c>
      <c r="H35" s="7" t="s">
        <v>29</v>
      </c>
      <c r="I35" s="7" t="s">
        <v>168</v>
      </c>
      <c r="J35" s="7"/>
      <c r="K35" s="7" t="s">
        <v>31</v>
      </c>
      <c r="L35" s="7"/>
      <c r="M35" s="7" t="s">
        <v>32</v>
      </c>
      <c r="N35" s="7"/>
      <c r="O35" s="1"/>
      <c r="P35" s="6"/>
      <c r="Q35" s="6" t="s">
        <v>33</v>
      </c>
      <c r="R35" s="6"/>
      <c r="S35" s="6"/>
      <c r="T35" s="6"/>
      <c r="U35" s="6"/>
    </row>
  </sheetData>
  <sheetProtection password="8DA8" sheet="1" sort="0" autoFilter="0"/>
  <autoFilter ref="A5:N35" xr:uid="{00000000-0009-0000-0000-000000000000}"/>
  <mergeCells count="4">
    <mergeCell ref="A1:U1"/>
    <mergeCell ref="A4:N4"/>
    <mergeCell ref="P4:U4"/>
    <mergeCell ref="A2:U2"/>
  </mergeCells>
  <conditionalFormatting sqref="K6:K35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"In Progress"</formula>
    </cfRule>
  </conditionalFormatting>
  <conditionalFormatting sqref="Q6:Q35">
    <cfRule type="cellIs" dxfId="5" priority="5" operator="equal">
      <formula>"Attended — Done"</formula>
    </cfRule>
    <cfRule type="cellIs" dxfId="4" priority="6" operator="equal">
      <formula>"Attending"</formula>
    </cfRule>
    <cfRule type="cellIs" dxfId="3" priority="7" operator="equal">
      <formula>"Not Attended"</formula>
    </cfRule>
  </conditionalFormatting>
  <conditionalFormatting sqref="R6:R35">
    <cfRule type="cellIs" dxfId="2" priority="8" operator="equal">
      <formula>"Yes — System OK"</formula>
    </cfRule>
    <cfRule type="cellIs" dxfId="1" priority="9" operator="equal">
      <formula>"No — Issues Found"</formula>
    </cfRule>
    <cfRule type="cellIs" dxfId="0" priority="10" operator="equal">
      <formula>"Partial"</formula>
    </cfRule>
  </conditionalFormatting>
  <dataValidations count="6">
    <dataValidation type="list" allowBlank="1" sqref="M6:M35" xr:uid="{00000000-0002-0000-0000-000000000000}">
      <formula1>"Critical,High,Medium,Low"</formula1>
    </dataValidation>
    <dataValidation type="list" allowBlank="1" sqref="G6:G35" xr:uid="{00000000-0002-0000-0000-000001000000}">
      <formula1>"PDF,PNG,JPG,DOCX,TXT,CSV,XLSX,MP4/Video,Mixed,N/A,Other"</formula1>
    </dataValidation>
    <dataValidation type="list" allowBlank="1" sqref="H6:H35" xr:uid="{00000000-0002-0000-0000-000002000000}">
      <formula1>"English,Arabic,French,Spanish,Hindi,German,Chinese,Japanese,Mixed,N/A"</formula1>
    </dataValidation>
    <dataValidation type="list" sqref="R6:R35" xr:uid="{00000000-0002-0000-0000-000003000000}">
      <formula1>"—,Yes — System OK,No — Issues Found,Partial"</formula1>
    </dataValidation>
    <dataValidation type="list" sqref="K6:K35" xr:uid="{00000000-0002-0000-0000-000004000000}">
      <formula1>"Not Tested,In Progress,Done"</formula1>
    </dataValidation>
    <dataValidation type="list" sqref="Q6:Q35" xr:uid="{00000000-0002-0000-0000-000005000000}">
      <formula1>"Not Attended,In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sqref="A1:I1"/>
    </sheetView>
  </sheetViews>
  <sheetFormatPr defaultRowHeight="14.4" x14ac:dyDescent="0.3"/>
  <cols>
    <col min="1" max="3" width="18" customWidth="1"/>
    <col min="4" max="4" width="4" customWidth="1"/>
    <col min="5" max="7" width="20" customWidth="1"/>
  </cols>
  <sheetData>
    <row r="1" spans="1:9" ht="30" customHeight="1" x14ac:dyDescent="0.3">
      <c r="A1" s="29" t="s">
        <v>169</v>
      </c>
      <c r="B1" s="28"/>
      <c r="C1" s="28"/>
      <c r="D1" s="28"/>
      <c r="E1" s="28"/>
      <c r="F1" s="28"/>
      <c r="G1" s="28"/>
      <c r="H1" s="28"/>
      <c r="I1" s="28"/>
    </row>
    <row r="3" spans="1:9" x14ac:dyDescent="0.3">
      <c r="A3" s="34" t="s">
        <v>170</v>
      </c>
      <c r="B3" s="28"/>
      <c r="C3" s="28"/>
      <c r="E3" s="33" t="s">
        <v>171</v>
      </c>
      <c r="F3" s="28"/>
      <c r="G3" s="28"/>
    </row>
    <row r="4" spans="1:9" x14ac:dyDescent="0.3">
      <c r="A4" s="8" t="s">
        <v>14</v>
      </c>
      <c r="B4" s="8" t="s">
        <v>172</v>
      </c>
      <c r="C4" s="8" t="s">
        <v>173</v>
      </c>
      <c r="E4" s="9" t="s">
        <v>14</v>
      </c>
      <c r="F4" s="9" t="s">
        <v>172</v>
      </c>
      <c r="G4" s="9" t="s">
        <v>173</v>
      </c>
    </row>
    <row r="5" spans="1:9" x14ac:dyDescent="0.3">
      <c r="A5" s="10" t="s">
        <v>31</v>
      </c>
      <c r="B5" s="11">
        <f>COUNTIF('UAT Test Cases'!K:K,A5)</f>
        <v>30</v>
      </c>
      <c r="C5" s="12">
        <f>IFERROR(B5/SUM(B5:B11),0)</f>
        <v>1</v>
      </c>
      <c r="E5" s="13" t="s">
        <v>33</v>
      </c>
      <c r="F5" s="14">
        <f>COUNTIF('UAT Test Cases'!Q:Q,E5)</f>
        <v>30</v>
      </c>
      <c r="G5" s="15">
        <f>IFERROR(F5/SUM(F5:F7),0)</f>
        <v>1</v>
      </c>
    </row>
    <row r="6" spans="1:9" x14ac:dyDescent="0.3">
      <c r="A6" s="16" t="s">
        <v>174</v>
      </c>
      <c r="B6" s="11">
        <f>COUNTIF('UAT Test Cases'!K:K,A6)</f>
        <v>0</v>
      </c>
      <c r="C6" s="12">
        <f>IFERROR(B6/SUM(B5:B11),0)</f>
        <v>0</v>
      </c>
      <c r="E6" s="17" t="s">
        <v>175</v>
      </c>
      <c r="F6" s="14">
        <f>COUNTIF('UAT Test Cases'!Q:Q,E6)</f>
        <v>0</v>
      </c>
      <c r="G6" s="15">
        <f>IFERROR(F6/SUM(F5:F7),0)</f>
        <v>0</v>
      </c>
    </row>
    <row r="7" spans="1:9" x14ac:dyDescent="0.3">
      <c r="A7" s="18" t="s">
        <v>176</v>
      </c>
      <c r="B7" s="11">
        <f>COUNTIF('UAT Test Cases'!K:K,A7)</f>
        <v>0</v>
      </c>
      <c r="C7" s="12">
        <f>IFERROR(B7/SUM(B5:B11),0)</f>
        <v>0</v>
      </c>
      <c r="E7" s="19" t="s">
        <v>177</v>
      </c>
      <c r="F7" s="14">
        <f>COUNTIF('UAT Test Cases'!Q:Q,E7)</f>
        <v>0</v>
      </c>
      <c r="G7" s="15">
        <f>IFERROR(F7/SUM(F5:F7),0)</f>
        <v>0</v>
      </c>
    </row>
    <row r="8" spans="1:9" x14ac:dyDescent="0.3">
      <c r="A8" s="20" t="s">
        <v>178</v>
      </c>
      <c r="B8" s="11">
        <f>COUNTIF('UAT Test Cases'!K:K,A8)</f>
        <v>0</v>
      </c>
      <c r="C8" s="12">
        <f>IFERROR(B8/SUM(B5:B11),0)</f>
        <v>0</v>
      </c>
      <c r="E8" s="9" t="s">
        <v>179</v>
      </c>
      <c r="F8" s="9">
        <f>SUM(F5:F7)</f>
        <v>30</v>
      </c>
      <c r="G8" s="9" t="s">
        <v>180</v>
      </c>
    </row>
    <row r="9" spans="1:9" x14ac:dyDescent="0.3">
      <c r="A9" s="21" t="s">
        <v>181</v>
      </c>
      <c r="B9" s="11">
        <f>COUNTIF('UAT Test Cases'!K:K,A9)</f>
        <v>0</v>
      </c>
      <c r="C9" s="12">
        <f>IFERROR(B9/SUM(B5:B11),0)</f>
        <v>0</v>
      </c>
    </row>
    <row r="10" spans="1:9" x14ac:dyDescent="0.3">
      <c r="A10" s="22" t="s">
        <v>182</v>
      </c>
      <c r="B10" s="11">
        <f>COUNTIF('UAT Test Cases'!K:K,A10)</f>
        <v>0</v>
      </c>
      <c r="C10" s="12">
        <f>IFERROR(B10/SUM(B5:B11),0)</f>
        <v>0</v>
      </c>
      <c r="E10" s="33" t="s">
        <v>183</v>
      </c>
      <c r="F10" s="28"/>
      <c r="G10" s="28"/>
    </row>
    <row r="11" spans="1:9" x14ac:dyDescent="0.3">
      <c r="A11" s="23" t="s">
        <v>184</v>
      </c>
      <c r="B11" s="11">
        <f>COUNTIF('UAT Test Cases'!K:K,A11)</f>
        <v>0</v>
      </c>
      <c r="C11" s="12">
        <f>IFERROR(B11/SUM(B5:B11),0)</f>
        <v>0</v>
      </c>
      <c r="E11" s="9" t="s">
        <v>185</v>
      </c>
      <c r="F11" s="9" t="s">
        <v>172</v>
      </c>
      <c r="G11" s="9" t="s">
        <v>173</v>
      </c>
    </row>
    <row r="12" spans="1:9" x14ac:dyDescent="0.3">
      <c r="A12" s="24" t="s">
        <v>179</v>
      </c>
      <c r="B12" s="24">
        <f>SUM(B5:B11)</f>
        <v>30</v>
      </c>
      <c r="C12" s="24" t="s">
        <v>180</v>
      </c>
      <c r="E12" s="19" t="s">
        <v>186</v>
      </c>
      <c r="F12" s="14">
        <f>COUNTIF('UAT Test Cases'!R:R,E12)</f>
        <v>0</v>
      </c>
      <c r="G12" s="15">
        <f>IFERROR(F12/SUM(F12:F15),0)</f>
        <v>0</v>
      </c>
    </row>
    <row r="13" spans="1:9" x14ac:dyDescent="0.3">
      <c r="E13" s="13" t="s">
        <v>187</v>
      </c>
      <c r="F13" s="14">
        <f>COUNTIF('UAT Test Cases'!R:R,E13)</f>
        <v>0</v>
      </c>
      <c r="G13" s="15">
        <f>IFERROR(F13/SUM(F12:F15),0)</f>
        <v>0</v>
      </c>
    </row>
    <row r="14" spans="1:9" x14ac:dyDescent="0.3">
      <c r="E14" s="25" t="s">
        <v>188</v>
      </c>
      <c r="F14" s="14">
        <f>COUNTIF('UAT Test Cases'!R:R,E14)</f>
        <v>0</v>
      </c>
      <c r="G14" s="15">
        <f>IFERROR(F14/SUM(F12:F15),0)</f>
        <v>0</v>
      </c>
    </row>
    <row r="15" spans="1:9" x14ac:dyDescent="0.3">
      <c r="E15" s="26" t="s">
        <v>189</v>
      </c>
      <c r="F15" s="14">
        <f>COUNTIF('UAT Test Cases'!R:R,E15)</f>
        <v>0</v>
      </c>
      <c r="G15" s="15">
        <f>IFERROR(F15/SUM(F12:F15),0)</f>
        <v>0</v>
      </c>
    </row>
  </sheetData>
  <mergeCells count="4">
    <mergeCell ref="A1:I1"/>
    <mergeCell ref="E10:G10"/>
    <mergeCell ref="A3:C3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sqref="A1:D1"/>
    </sheetView>
  </sheetViews>
  <sheetFormatPr defaultRowHeight="14.4" x14ac:dyDescent="0.3"/>
  <cols>
    <col min="1" max="1" width="6" customWidth="1"/>
    <col min="2" max="2" width="25" customWidth="1"/>
    <col min="3" max="3" width="22" customWidth="1"/>
    <col min="4" max="4" width="30" customWidth="1"/>
  </cols>
  <sheetData>
    <row r="1" spans="1:4" ht="28.05" customHeight="1" x14ac:dyDescent="0.3">
      <c r="A1" s="35" t="s">
        <v>190</v>
      </c>
      <c r="B1" s="28"/>
      <c r="C1" s="28"/>
      <c r="D1" s="28"/>
    </row>
    <row r="3" spans="1:4" x14ac:dyDescent="0.3">
      <c r="A3" s="8" t="s">
        <v>191</v>
      </c>
      <c r="B3" s="8" t="s">
        <v>5</v>
      </c>
      <c r="C3" s="8" t="s">
        <v>192</v>
      </c>
      <c r="D3" s="8" t="s">
        <v>193</v>
      </c>
    </row>
    <row r="4" spans="1:4" x14ac:dyDescent="0.3">
      <c r="A4" s="22">
        <v>1</v>
      </c>
      <c r="B4" s="22"/>
      <c r="C4" s="22" t="s">
        <v>194</v>
      </c>
      <c r="D4" s="22"/>
    </row>
    <row r="5" spans="1:4" x14ac:dyDescent="0.3">
      <c r="A5" s="27">
        <v>2</v>
      </c>
      <c r="B5" s="27"/>
      <c r="C5" s="27" t="s">
        <v>195</v>
      </c>
      <c r="D5" s="27"/>
    </row>
    <row r="6" spans="1:4" x14ac:dyDescent="0.3">
      <c r="A6" s="22">
        <v>3</v>
      </c>
      <c r="B6" s="22"/>
      <c r="C6" s="22" t="s">
        <v>196</v>
      </c>
      <c r="D6" s="22"/>
    </row>
    <row r="7" spans="1:4" x14ac:dyDescent="0.3">
      <c r="A7" s="27">
        <v>4</v>
      </c>
      <c r="B7" s="27"/>
      <c r="C7" s="27" t="s">
        <v>197</v>
      </c>
      <c r="D7" s="27"/>
    </row>
    <row r="8" spans="1:4" x14ac:dyDescent="0.3">
      <c r="A8" s="22">
        <v>5</v>
      </c>
      <c r="B8" s="22"/>
      <c r="C8" s="22" t="s">
        <v>198</v>
      </c>
      <c r="D8" s="2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Test Cases</vt:lpstr>
      <vt:lpstr>Summary Dashboard</vt:lpstr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x7224@365mmt.com</cp:lastModifiedBy>
  <dcterms:created xsi:type="dcterms:W3CDTF">2026-06-26T04:58:13Z</dcterms:created>
  <dcterms:modified xsi:type="dcterms:W3CDTF">2026-06-26T05:16:07Z</dcterms:modified>
</cp:coreProperties>
</file>